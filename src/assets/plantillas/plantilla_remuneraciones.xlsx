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OVIF\INFO\"/>
    </mc:Choice>
  </mc:AlternateContent>
  <xr:revisionPtr revIDLastSave="0" documentId="13_ncr:1_{54D6FF33-961C-4BD7-A900-67ECDF1E55AD}" xr6:coauthVersionLast="47" xr6:coauthVersionMax="47" xr10:uidLastSave="{00000000-0000-0000-0000-000000000000}"/>
  <bookViews>
    <workbookView xWindow="-110" yWindow="-110" windowWidth="19420" windowHeight="11020" activeTab="1" xr2:uid="{AA62E565-CCF0-428E-A50D-FE818BBBF96D}"/>
  </bookViews>
  <sheets>
    <sheet name="Carga" sheetId="1" r:id="rId1"/>
    <sheet name="Export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<sst xmlns="http://schemas.openxmlformats.org/spreadsheetml/2006/main" count="120" uniqueCount="38">
  <si>
    <t>CUIL</t>
  </si>
  <si>
    <t>Fecha de alta</t>
  </si>
  <si>
    <t>Remuneracion neta</t>
  </si>
  <si>
    <t>Situacion de resvista</t>
  </si>
  <si>
    <t>Cantidad hs extras 50</t>
  </si>
  <si>
    <t>Cantidad hs extras 100</t>
  </si>
  <si>
    <t>Importe hs extras 50</t>
  </si>
  <si>
    <t>Importe hs extras 100</t>
  </si>
  <si>
    <t>ART</t>
  </si>
  <si>
    <t>Seguro de vida</t>
  </si>
  <si>
    <t>Otros conceptos</t>
  </si>
  <si>
    <t>PERSONAL DE PLANTA POLITICA</t>
  </si>
  <si>
    <t>PERSONAL DE PLANTA PERMANENTE</t>
  </si>
  <si>
    <t>Bonificacion</t>
  </si>
  <si>
    <t>apellido_nombre</t>
  </si>
  <si>
    <t>cuil</t>
  </si>
  <si>
    <t>situacion_revista</t>
  </si>
  <si>
    <t>fecha_alta</t>
  </si>
  <si>
    <t>remuneracion_neta</t>
  </si>
  <si>
    <t>bonificacion</t>
  </si>
  <si>
    <t>cant_hs_extra_50</t>
  </si>
  <si>
    <t>importe_hs_extra_50</t>
  </si>
  <si>
    <t>cant_hs_extra_100</t>
  </si>
  <si>
    <t>importe_hs_extra_100</t>
  </si>
  <si>
    <t>art</t>
  </si>
  <si>
    <t>seguro_vida</t>
  </si>
  <si>
    <t>otros_conceptos</t>
  </si>
  <si>
    <t>PERSONAL PLANTA TEMPORARIA</t>
  </si>
  <si>
    <t>Apellido y nombre</t>
  </si>
  <si>
    <t>Apeliido y nombre</t>
  </si>
  <si>
    <t>Situacion de revista</t>
  </si>
  <si>
    <t>PERSONAL QUE COBRA POR CONTRATO/MONOTRIBUTISTA</t>
  </si>
  <si>
    <t>PERSONAL QUE CONTRAPRESTA PERCIBIENDO RETRIBUCION POR SUBSIDIO</t>
  </si>
  <si>
    <t>PERSONAL QUE PRESTA SERVICIOS Y PERCIBE UNA REMUNERACION Y NO SE ENCUENTRAN INCLUIDOS EN NINGUNA DE LAS OPCIONES ANTERIORES</t>
  </si>
  <si>
    <t>PERSONAL QUE PERCIBA UN SUBSIDIO (PLANES / BECAS / AYUDA SOCIAL TEMPORARIA)</t>
  </si>
  <si>
    <t>Tipo liquidacion</t>
  </si>
  <si>
    <t>tipo_liquidacion</t>
  </si>
  <si>
    <t>regimen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</si>
</sst>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49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5"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1" hidden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fgColor theme="7" tint="0.79998168889431442"/>
          <bgColor theme="7" tint="0.79998168889431442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ill>
        <patternFill patternType="solid">
          <fgColor theme="7" tint="0.79998168889431442"/>
          <bgColor theme="7" tint="0.79998168889431442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</dxfs>
  <tableStyles count="1" defaultTableStyle="TableStyleMedium2" defaultPivotStyle="PivotStyleLight16">
    <tableStyle name="Celeste con borde grueso" pivot="0" count="9" xr9:uid="{CABF12A2-FEE9-4BF6-A228-235EE9C2B965}">
      <tableStyleElement type="wholeTable" dxfId="114"/>
      <tableStyleElement type="headerRow" dxfId="113"/>
      <tableStyleElement type="totalRow" dxfId="112"/>
      <tableStyleElement type="firstColumn" dxfId="111"/>
      <tableStyleElement type="lastColumn" dxfId="110"/>
      <tableStyleElement type="firstRowStripe" dxfId="109"/>
      <tableStyleElement type="secondRowStripe" dxfId="108"/>
      <tableStyleElement type="firstColumnStripe" dxfId="107"/>
      <tableStyleElement type="secondColumnStripe" dxfId="10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22137-BE7E-4124-A20B-B16BCDF1DA5A}" name="planta_politica" displayName="planta_politica" ref="A2:N3" totalsRowShown="0" headerRowDxfId="105" dataDxfId="104">
  <autoFilter ref="A2:N3" xr:uid="{5F322137-BE7E-4124-A20B-B16BCDF1DA5A}"/>
  <tableColumns count="14">
    <tableColumn id="1" xr3:uid="{6221030C-BDC8-47D7-8432-7CE0671E20A4}" name="CUIL" dataDxfId="103"/>
    <tableColumn id="2" xr3:uid="{B4EC62CC-9B4B-4360-98DD-367F68593BBE}" name="Apellido y nombre" dataDxfId="102"/>
    <tableColumn id="3" xr3:uid="{DCC70BDF-34B5-4E08-A3E1-B14CE45E55EC}" name="Situacion de resvista" dataDxfId="101"/>
    <tableColumn id="4" xr3:uid="{7ED86875-1384-42B1-B5B1-51E3BDBAE872}" name="Fecha de alta" dataDxfId="100"/>
    <tableColumn id="5" xr3:uid="{6A30B8AA-55ED-4E07-B19D-FCFAE639C53F}" name="Remuneracion neta" dataDxfId="99"/>
    <tableColumn id="15" xr3:uid="{5E98BB4A-E594-495F-B6F8-B56B8868ED21}" name="Tipo liquidacion" dataDxfId="98"/>
    <tableColumn id="6" xr3:uid="{4CC7445D-552B-4E44-9414-914415FEAC64}" name="Bonificacion" dataDxfId="97"/>
    <tableColumn id="7" xr3:uid="{68D6AAB0-8D46-43A0-95AE-30360229FDE6}" name="Cantidad hs extras 50" dataDxfId="96"/>
    <tableColumn id="8" xr3:uid="{DC651047-649B-4006-9F62-EB1D16E206B2}" name="Importe hs extras 50" dataDxfId="95"/>
    <tableColumn id="9" xr3:uid="{A6AC2562-5696-484C-B854-147C59E734CB}" name="Cantidad hs extras 100" dataDxfId="94"/>
    <tableColumn id="10" xr3:uid="{CC7FE65A-DE1E-4516-9B9F-7A1232EA4B7B}" name="Importe hs extras 100" dataDxfId="93"/>
    <tableColumn id="11" xr3:uid="{E5ECAE55-D8B2-422D-ABBF-15C2F115B74B}" name="ART" dataDxfId="92"/>
    <tableColumn id="12" xr3:uid="{236167A3-167F-4CB8-B19E-555C3AD6807F}" name="Seguro de vida" dataDxfId="91"/>
    <tableColumn id="13" xr3:uid="{F11D8C7A-2E73-42FA-8FE9-F8AB8FFB6837}" name="Otros conceptos" dataDxfId="90"/>
  </tableColumns>
  <tableStyleInfo name="Celeste con borde grues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014DE1-DEE7-4AA0-88EC-FC2EA0F96777}" name="planta_permanente" displayName="planta_permanente" ref="A7:N8" totalsRowShown="0" dataDxfId="89">
  <autoFilter ref="A7:N8" xr:uid="{7D014DE1-DEE7-4AA0-88EC-FC2EA0F96777}"/>
  <tableColumns count="14">
    <tableColumn id="1" xr3:uid="{2B457316-1D02-424A-BA2C-39CEA73FC5EB}" name="CUIL" dataDxfId="88"/>
    <tableColumn id="2" xr3:uid="{A5A169A0-497A-4469-A27C-8665C27AFA69}" name="Apeliido y nombre" dataDxfId="87"/>
    <tableColumn id="3" xr3:uid="{F0477CB6-A2A9-456D-9A4F-37B74E198B58}" name="Situacion de resvista" dataDxfId="86"/>
    <tableColumn id="4" xr3:uid="{76638FCA-705D-4F26-81F0-D868822D8600}" name="Fecha de alta" dataDxfId="85"/>
    <tableColumn id="5" xr3:uid="{D6C5155A-8AF7-453F-BAA2-E67FEEAEAA11}" name="Remuneracion neta" dataDxfId="84"/>
    <tableColumn id="15" xr3:uid="{FF0B2C1B-5478-4501-9FC1-250B48CE4A4E}" name="Tipo liquidacion" dataDxfId="83"/>
    <tableColumn id="6" xr3:uid="{DD896FBB-D560-43AD-9A77-04EB4A00401D}" name="Bonificacion" dataDxfId="82"/>
    <tableColumn id="7" xr3:uid="{2032AB3B-88DE-472F-8074-4D2BAEFCFB9F}" name="Cantidad hs extras 50" dataDxfId="81"/>
    <tableColumn id="8" xr3:uid="{61D9A5E6-7635-4C44-9E56-99E11F4FCA94}" name="Importe hs extras 50" dataDxfId="80"/>
    <tableColumn id="9" xr3:uid="{657FDFF9-C917-4318-BB22-747690583C8A}" name="Cantidad hs extras 100" dataDxfId="79"/>
    <tableColumn id="10" xr3:uid="{12DF0B1A-EC30-486A-B5B7-30F154B94CA8}" name="Importe hs extras 100" dataDxfId="78"/>
    <tableColumn id="11" xr3:uid="{9FE12DB6-091A-4B47-BDDE-F2AC7382EA08}" name="ART" dataDxfId="77"/>
    <tableColumn id="12" xr3:uid="{11E000C9-972E-4C33-B30E-866551FD6EFB}" name="Seguro de vida" dataDxfId="76"/>
    <tableColumn id="13" xr3:uid="{49872571-DA0E-45EB-9AB2-A14C23A945D1}" name="Otros conceptos" dataDxfId="75"/>
  </tableColumns>
  <tableStyleInfo name="Celeste con borde grueso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98DE2E-191A-4DEC-9BBC-4ECB5CD2FD4C}" name="planta_temporaria" displayName="planta_temporaria" ref="A12:N13" totalsRowShown="0" dataDxfId="74">
  <autoFilter ref="A12:N13" xr:uid="{5998DE2E-191A-4DEC-9BBC-4ECB5CD2FD4C}"/>
  <tableColumns count="14">
    <tableColumn id="1" xr3:uid="{F4251216-8244-4AEB-9513-8FFE7A7C638B}" name="CUIL" dataDxfId="73"/>
    <tableColumn id="2" xr3:uid="{A8860631-61AD-4406-9850-B79F8A4BFBB1}" name="Apellido y nombre" dataDxfId="72"/>
    <tableColumn id="3" xr3:uid="{9FA262DE-BFE4-4CE5-BBC5-FD023BBB432E}" name="Situacion de revista" dataDxfId="71"/>
    <tableColumn id="4" xr3:uid="{2747FE3C-0AEB-463F-9DF6-9EAD41508129}" name="Fecha de alta" dataDxfId="70"/>
    <tableColumn id="5" xr3:uid="{F822C7FD-6976-440D-B1E6-AED4EC1528E0}" name="Remuneracion neta" dataDxfId="69"/>
    <tableColumn id="14" xr3:uid="{79622528-C1D1-481D-92EA-06E5C197B5C2}" name="Tipo liquidacion" dataDxfId="68"/>
    <tableColumn id="6" xr3:uid="{A74C35EE-276B-4077-AD32-A4E8DA8B8740}" name="Bonificacion" dataDxfId="67"/>
    <tableColumn id="7" xr3:uid="{16007301-6F26-485B-B28F-9050816B27E8}" name="Cantidad hs extras 50" dataDxfId="66"/>
    <tableColumn id="8" xr3:uid="{B20A6E0C-FC83-4A5A-9576-907028C8FE9D}" name="Importe hs extras 50" dataDxfId="65"/>
    <tableColumn id="9" xr3:uid="{548FECE0-60AE-4129-AC80-2E3B0DFF95D5}" name="Cantidad hs extras 100" dataDxfId="64"/>
    <tableColumn id="10" xr3:uid="{8A24594A-8D94-4729-8559-9EC3CD3F5383}" name="Importe hs extras 100" dataDxfId="63"/>
    <tableColumn id="11" xr3:uid="{457CE229-E397-4F4B-9083-BFA3E787A4A2}" name="ART" dataDxfId="62"/>
    <tableColumn id="12" xr3:uid="{2D6129C8-6F48-4E00-8B14-3282160C55DD}" name="Seguro de vida" dataDxfId="61"/>
    <tableColumn id="13" xr3:uid="{D46EFB6B-F4A6-4426-B78F-F3A84B98F7B7}" name="Otros conceptos" dataDxfId="60"/>
  </tableColumns>
  <tableStyleInfo name="Celeste con borde grueso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CCA5DF-1DD9-4E01-ACCA-F86347AB6866}" name="monotributista" displayName="monotributista" ref="A17:N18" totalsRowShown="0" dataDxfId="59">
  <autoFilter ref="A17:N18" xr:uid="{9ECCA5DF-1DD9-4E01-ACCA-F86347AB6866}"/>
  <tableColumns count="14">
    <tableColumn id="1" xr3:uid="{02E894EC-DB86-4466-B171-E954C749308B}" name="CUIL" dataDxfId="58"/>
    <tableColumn id="2" xr3:uid="{651F6E6C-4AF8-491C-8259-7C51A1AB85DF}" name="Apellido y nombre" dataDxfId="57"/>
    <tableColumn id="3" xr3:uid="{81609468-02E9-49D5-AE70-8678EA50DDB0}" name="Situacion de revista" dataDxfId="56"/>
    <tableColumn id="4" xr3:uid="{81143153-6852-4C96-AA1F-97BB38C158BB}" name="Fecha de alta" dataDxfId="55"/>
    <tableColumn id="5" xr3:uid="{C349A50B-7BA0-41CF-8839-9005A2212AFA}" name="Remuneracion neta" dataDxfId="54"/>
    <tableColumn id="14" xr3:uid="{AFA15C3F-2EB9-4932-8F7F-BD261FABCC7B}" name="Tipo liquidacion" dataDxfId="53"/>
    <tableColumn id="6" xr3:uid="{A2CB7A9E-FA7D-4EA3-BDD1-DB593C28556B}" name="Bonificacion" dataDxfId="52"/>
    <tableColumn id="7" xr3:uid="{3835806E-F2BA-4B52-B668-5EE4DE1A8C1B}" name="Cantidad hs extras 50" dataDxfId="51"/>
    <tableColumn id="8" xr3:uid="{1A863F09-2FD1-40C7-A033-9319E3664A4A}" name="Importe hs extras 50" dataDxfId="50"/>
    <tableColumn id="9" xr3:uid="{546D29EC-79FD-487E-98AD-DF9257456E8B}" name="Cantidad hs extras 100" dataDxfId="49"/>
    <tableColumn id="10" xr3:uid="{0FE772F8-4C79-4C36-82AB-E3A38D6092FE}" name="Importe hs extras 100" dataDxfId="48"/>
    <tableColumn id="11" xr3:uid="{71B72C64-EEBD-4918-AC4E-7450D578577A}" name="ART" dataDxfId="47"/>
    <tableColumn id="12" xr3:uid="{1CAEA488-2FAB-42F0-B5E5-F1CD71077418}" name="Seguro de vida" dataDxfId="46"/>
    <tableColumn id="13" xr3:uid="{F1833B5B-E818-44CC-966D-9CE4E3784FA0}" name="Otros conceptos" dataDxfId="45"/>
  </tableColumns>
  <tableStyleInfo name="Celeste con borde grueso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DECD3D-CBE1-4C9C-BFF3-14415BAB01AD}" name="percibe_retribucion_subsidio" displayName="percibe_retribucion_subsidio" ref="A22:N23" totalsRowShown="0" dataDxfId="44">
  <autoFilter ref="A22:N23" xr:uid="{D0DECD3D-CBE1-4C9C-BFF3-14415BAB01AD}"/>
  <tableColumns count="14">
    <tableColumn id="1" xr3:uid="{EEB19FD2-EBF2-4F1E-B08C-953A63E540F7}" name="CUIL" dataDxfId="43"/>
    <tableColumn id="2" xr3:uid="{67FCC5DB-3DA0-41BE-A9CB-A71DE7FA3A73}" name="Apellido y nombre" dataDxfId="42"/>
    <tableColumn id="3" xr3:uid="{FF033DDC-7FA8-4279-8B16-4616F8B6F2B3}" name="Situacion de revista" dataDxfId="41"/>
    <tableColumn id="4" xr3:uid="{94B4D120-3748-4B43-A6E8-0698D1662F24}" name="Fecha de alta" dataDxfId="40"/>
    <tableColumn id="5" xr3:uid="{6A64B47C-CA6C-4457-BAED-DC106D9ED375}" name="Remuneracion neta" dataDxfId="39"/>
    <tableColumn id="14" xr3:uid="{0D0268D0-822A-4234-8E43-51CC9D815D8B}" name="Tipo liquidacion" dataDxfId="38"/>
    <tableColumn id="6" xr3:uid="{37B714E2-F1EB-4A69-B247-9E93CD53D42C}" name="Bonificacion" dataDxfId="37"/>
    <tableColumn id="7" xr3:uid="{405D5DB7-71FD-4E67-AA94-714EF59225CE}" name="Cantidad hs extras 50" dataDxfId="36"/>
    <tableColumn id="8" xr3:uid="{C338B752-BCD6-4F7A-BA2B-ACDFD5605849}" name="Importe hs extras 50" dataDxfId="35"/>
    <tableColumn id="9" xr3:uid="{241B482C-D5A1-408D-BF61-3C265AFD85B4}" name="Cantidad hs extras 100" dataDxfId="34"/>
    <tableColumn id="10" xr3:uid="{038DBEF9-2274-4A06-BB51-648C4D7FCBAF}" name="Importe hs extras 100" dataDxfId="33"/>
    <tableColumn id="11" xr3:uid="{2E93499D-053F-4884-9A65-CDEB563BE948}" name="ART" dataDxfId="32"/>
    <tableColumn id="12" xr3:uid="{F2CFA078-2FAA-4E31-A88D-E6D763073D28}" name="Seguro de vida" dataDxfId="31"/>
    <tableColumn id="13" xr3:uid="{B3228B1C-F7A1-43DC-AD3A-69686241E560}" name="Otros conceptos" dataDxfId="30"/>
  </tableColumns>
  <tableStyleInfo name="Celeste con borde grueso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2750E3-6F4B-4B2D-AE3B-27E9181098AC}" name="presta_servicios" displayName="presta_servicios" ref="A27:N28" totalsRowShown="0" dataDxfId="29">
  <autoFilter ref="A27:N28" xr:uid="{142750E3-6F4B-4B2D-AE3B-27E9181098AC}"/>
  <tableColumns count="14">
    <tableColumn id="1" xr3:uid="{207B5EFD-B8F0-4326-912F-A209FF479521}" name="CUIL" dataDxfId="28"/>
    <tableColumn id="2" xr3:uid="{87C5F996-DAD5-48F5-B55F-5F9A46865CB6}" name="Apellido y nombre" dataDxfId="27"/>
    <tableColumn id="3" xr3:uid="{E76EF218-5076-4A0C-95E3-2D9B112DCFE6}" name="Situacion de revista" dataDxfId="26"/>
    <tableColumn id="4" xr3:uid="{FA45EFE7-0672-4CE1-BB49-90496ACE4E55}" name="Fecha de alta" dataDxfId="25"/>
    <tableColumn id="5" xr3:uid="{D9300B8C-CDF2-4BCE-BA19-C407E6A64FB4}" name="Remuneracion neta" dataDxfId="24"/>
    <tableColumn id="14" xr3:uid="{2E9DDCC1-19E5-4D66-91F1-76BA9AB2A6FE}" name="Tipo liquidacion" dataDxfId="23"/>
    <tableColumn id="6" xr3:uid="{304A7BA4-A239-4F82-ABAE-E60A05392371}" name="Bonificacion" dataDxfId="22"/>
    <tableColumn id="7" xr3:uid="{15B7239A-4A23-4730-A9AA-E4AD24089A36}" name="Cantidad hs extras 50" dataDxfId="21"/>
    <tableColumn id="8" xr3:uid="{CE30B14A-49E4-4723-A570-5A5B9D32B07E}" name="Importe hs extras 50" dataDxfId="20"/>
    <tableColumn id="9" xr3:uid="{C9A11DAA-CF61-4E85-BCB9-2C9C0D0CEFAB}" name="Cantidad hs extras 100" dataDxfId="19"/>
    <tableColumn id="10" xr3:uid="{1202AE59-06A0-45C2-830A-E89C11601A14}" name="Importe hs extras 100" dataDxfId="18"/>
    <tableColumn id="11" xr3:uid="{A5055EEE-818A-4753-8DAE-75064B0148AD}" name="ART" dataDxfId="17"/>
    <tableColumn id="12" xr3:uid="{4302CD67-FD1D-46FC-B4F1-B4BA4BE73823}" name="Seguro de vida" dataDxfId="16"/>
    <tableColumn id="13" xr3:uid="{1E23A87E-8ABD-4D2B-8C64-CF5A006C2520}" name="Otros conceptos" dataDxfId="15"/>
  </tableColumns>
  <tableStyleInfo name="Celeste con borde grueso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1BBCCF-DB4B-4C40-ADCD-C55A84950D12}" name="percibe_subsidio" displayName="percibe_subsidio" ref="A32:N33" totalsRowShown="0" dataDxfId="14">
  <autoFilter ref="A32:N33" xr:uid="{281BBCCF-DB4B-4C40-ADCD-C55A84950D12}"/>
  <tableColumns count="14">
    <tableColumn id="1" xr3:uid="{3AA08A5C-94B8-4DC4-A812-D7F9666DCA92}" name="CUIL" dataDxfId="13"/>
    <tableColumn id="2" xr3:uid="{8641964C-737E-432A-8EBA-826B2BC314AF}" name="Apellido y nombre" dataDxfId="12"/>
    <tableColumn id="3" xr3:uid="{EC004C0E-4A28-49E4-89A6-9D681CD1EC14}" name="Situacion de revista" dataDxfId="11"/>
    <tableColumn id="4" xr3:uid="{0BEB6406-E577-4F59-ACC9-EED1D602DB59}" name="Fecha de alta" dataDxfId="10"/>
    <tableColumn id="5" xr3:uid="{5422018B-504D-4B92-A16B-6B28E0D8EE79}" name="Remuneracion neta" dataDxfId="9"/>
    <tableColumn id="14" xr3:uid="{4978182D-11CD-4903-B0C7-EF769CA47223}" name="Tipo liquidacion" dataDxfId="8"/>
    <tableColumn id="6" xr3:uid="{A8609D7E-EBC1-449F-9A6A-0FCD3B9AC861}" name="Bonificacion" dataDxfId="7"/>
    <tableColumn id="7" xr3:uid="{0A59A371-9D71-4158-B9A0-3AC758EE93F1}" name="Cantidad hs extras 50" dataDxfId="6"/>
    <tableColumn id="8" xr3:uid="{8AECD060-E838-4049-8420-A7FB506B9F30}" name="Importe hs extras 50" dataDxfId="5"/>
    <tableColumn id="9" xr3:uid="{B7037EF5-4AC5-4293-BDF5-836F757FE7DE}" name="Cantidad hs extras 100" dataDxfId="4"/>
    <tableColumn id="10" xr3:uid="{CE844805-AD5C-4415-B0C5-F24CE1BCE94E}" name="Importe hs extras 100" dataDxfId="3"/>
    <tableColumn id="11" xr3:uid="{19E61F63-CB5A-4082-814A-916FD58F91B3}" name="ART" dataDxfId="2"/>
    <tableColumn id="12" xr3:uid="{123A896E-E4A6-41B6-A6D2-064B1400BCD1}" name="Seguro de vida" dataDxfId="1"/>
    <tableColumn id="13" xr3:uid="{9E98CEF0-B2E4-4A40-B716-0E0313CBEC8A}" name="Otros conceptos" dataDxfId="0"/>
  </tableColumns>
  <tableStyleInfo name="Celeste con borde grueso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0B29-F716-4109-A774-D2B529042019}">
  <dimension ref="A1:N33"/>
  <sheetViews>
    <sheetView workbookViewId="0">
      <selection activeCell="B24" sqref="B24"/>
    </sheetView>
  </sheetViews>
  <sheetFormatPr baseColWidth="10" defaultRowHeight="14.5" x14ac:dyDescent="0.35"/>
  <cols>
    <col min="1" max="1" width="27.1796875" bestFit="1" customWidth="1"/>
    <col min="2" max="2" width="37.453125" bestFit="1" customWidth="1"/>
    <col min="3" max="3" width="20.54296875" bestFit="1" customWidth="1"/>
    <col min="4" max="4" width="14.1796875" bestFit="1" customWidth="1"/>
    <col min="5" max="5" width="19.54296875" bestFit="1" customWidth="1"/>
    <col min="6" max="6" width="16.54296875" bestFit="1" customWidth="1"/>
    <col min="7" max="7" width="21.08984375" bestFit="1" customWidth="1"/>
    <col min="8" max="8" width="19.90625" bestFit="1" customWidth="1"/>
    <col min="9" max="9" width="22.08984375" bestFit="1" customWidth="1"/>
    <col min="10" max="10" width="23.08984375" bestFit="1" customWidth="1"/>
    <col min="11" max="11" width="20.90625" bestFit="1" customWidth="1"/>
    <col min="12" max="12" width="15.1796875" bestFit="1" customWidth="1"/>
    <col min="13" max="14" width="16.6328125" bestFit="1" customWidth="1"/>
    <col min="15" max="15" width="12.453125" customWidth="1"/>
  </cols>
  <sheetData>
    <row r="1" spans="1:14" ht="18.5" x14ac:dyDescent="0.45">
      <c r="A1" s="23" t="s">
        <v>11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15" thickBot="1" x14ac:dyDescent="0.4">
      <c r="A2" s="1" t="s">
        <v>0</v>
      </c>
      <c r="B2" t="s">
        <v>28</v>
      </c>
      <c r="C2" t="s">
        <v>3</v>
      </c>
      <c r="D2" t="s">
        <v>1</v>
      </c>
      <c r="E2" t="s">
        <v>2</v>
      </c>
      <c r="F2" t="s">
        <v>35</v>
      </c>
      <c r="G2" t="s">
        <v>13</v>
      </c>
      <c r="H2" t="s">
        <v>4</v>
      </c>
      <c r="I2" t="s">
        <v>6</v>
      </c>
      <c r="J2" t="s">
        <v>5</v>
      </c>
      <c r="K2" t="s">
        <v>7</v>
      </c>
      <c r="L2" t="s">
        <v>8</v>
      </c>
      <c r="M2" t="s">
        <v>9</v>
      </c>
      <c r="N2" t="s">
        <v>10</v>
      </c>
    </row>
    <row r="3" spans="1:14" ht="15" thickBot="1" x14ac:dyDescent="0.4">
      <c r="A3" s="14"/>
      <c r="B3" s="15"/>
      <c r="C3" s="16"/>
      <c r="D3" s="17"/>
      <c r="E3" s="18"/>
      <c r="F3" s="8"/>
      <c r="G3" s="18"/>
      <c r="H3" s="16"/>
      <c r="I3" s="18"/>
      <c r="J3" s="16"/>
      <c r="K3" s="18"/>
      <c r="L3" s="18"/>
      <c r="M3" s="18"/>
      <c r="N3" s="19"/>
    </row>
    <row r="4" spans="1:14" x14ac:dyDescent="0.35">
      <c r="A4" s="10"/>
      <c r="B4" s="11"/>
      <c r="C4" s="11"/>
      <c r="D4" s="12"/>
      <c r="E4" s="13"/>
      <c r="F4" s="13"/>
      <c r="G4" s="13"/>
      <c r="H4" s="11"/>
      <c r="I4" s="13"/>
      <c r="J4" s="11"/>
      <c r="K4" s="13"/>
      <c r="L4" s="13"/>
      <c r="M4" s="13"/>
      <c r="N4" s="13"/>
    </row>
    <row r="5" spans="1:14" x14ac:dyDescent="0.35">
      <c r="A5" s="20"/>
      <c r="B5" s="4"/>
      <c r="C5" s="4"/>
      <c r="D5" s="21"/>
      <c r="E5" s="22"/>
      <c r="F5" s="22"/>
      <c r="G5" s="22"/>
      <c r="H5" s="4"/>
      <c r="I5" s="22"/>
      <c r="J5" s="4"/>
      <c r="K5" s="22"/>
      <c r="L5" s="22"/>
      <c r="M5" s="22"/>
      <c r="N5" s="22"/>
    </row>
    <row r="6" spans="1:14" ht="18.5" x14ac:dyDescent="0.45">
      <c r="A6" s="23" t="s">
        <v>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4" ht="15" thickBot="1" x14ac:dyDescent="0.4">
      <c r="A7" s="1" t="s">
        <v>0</v>
      </c>
      <c r="B7" t="s">
        <v>29</v>
      </c>
      <c r="C7" t="s">
        <v>3</v>
      </c>
      <c r="D7" t="s">
        <v>1</v>
      </c>
      <c r="E7" t="s">
        <v>2</v>
      </c>
      <c r="F7" t="s">
        <v>35</v>
      </c>
      <c r="G7" t="s">
        <v>13</v>
      </c>
      <c r="H7" t="s">
        <v>4</v>
      </c>
      <c r="I7" t="s">
        <v>6</v>
      </c>
      <c r="J7" t="s">
        <v>5</v>
      </c>
      <c r="K7" t="s">
        <v>7</v>
      </c>
      <c r="L7" t="s">
        <v>8</v>
      </c>
      <c r="M7" t="s">
        <v>9</v>
      </c>
      <c r="N7" t="s">
        <v>10</v>
      </c>
    </row>
    <row r="8" spans="1:14" ht="15" thickBot="1" x14ac:dyDescent="0.4">
      <c r="A8" s="5"/>
      <c r="B8" s="6"/>
      <c r="C8" s="6"/>
      <c r="D8" s="7"/>
      <c r="E8" s="8"/>
      <c r="F8" s="8"/>
      <c r="G8" s="8"/>
      <c r="H8" s="6"/>
      <c r="I8" s="8"/>
      <c r="J8" s="6"/>
      <c r="K8" s="8"/>
      <c r="L8" s="8"/>
      <c r="M8" s="8"/>
      <c r="N8" s="8"/>
    </row>
    <row r="11" spans="1:14" ht="18.5" x14ac:dyDescent="0.45">
      <c r="A11" s="23" t="s">
        <v>27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4" ht="15" thickBot="1" x14ac:dyDescent="0.4">
      <c r="A12" t="s">
        <v>0</v>
      </c>
      <c r="B12" t="s">
        <v>28</v>
      </c>
      <c r="C12" t="s">
        <v>30</v>
      </c>
      <c r="D12" t="s">
        <v>1</v>
      </c>
      <c r="E12" t="s">
        <v>2</v>
      </c>
      <c r="F12" t="s">
        <v>35</v>
      </c>
      <c r="G12" t="s">
        <v>13</v>
      </c>
      <c r="H12" t="s">
        <v>4</v>
      </c>
      <c r="I12" t="s">
        <v>6</v>
      </c>
      <c r="J12" t="s">
        <v>5</v>
      </c>
      <c r="K12" t="s">
        <v>7</v>
      </c>
      <c r="L12" t="s">
        <v>8</v>
      </c>
      <c r="M12" t="s">
        <v>9</v>
      </c>
      <c r="N12" t="s">
        <v>10</v>
      </c>
    </row>
    <row r="13" spans="1:14" ht="15" thickBot="1" x14ac:dyDescent="0.4">
      <c r="A13" s="5"/>
      <c r="B13" s="6"/>
      <c r="C13" s="6"/>
      <c r="D13" s="7"/>
      <c r="E13" s="8"/>
      <c r="F13" s="8"/>
      <c r="G13" s="8"/>
      <c r="H13" s="6"/>
      <c r="I13" s="8"/>
      <c r="J13" s="6"/>
      <c r="K13" s="8"/>
      <c r="L13" s="8"/>
      <c r="M13" s="8"/>
      <c r="N13" s="8"/>
    </row>
    <row r="16" spans="1:14" ht="18.5" x14ac:dyDescent="0.45">
      <c r="A16" s="23" t="s">
        <v>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4" ht="15" thickBot="1" x14ac:dyDescent="0.4">
      <c r="A17" t="s">
        <v>0</v>
      </c>
      <c r="B17" t="s">
        <v>28</v>
      </c>
      <c r="C17" t="s">
        <v>30</v>
      </c>
      <c r="D17" t="s">
        <v>1</v>
      </c>
      <c r="E17" t="s">
        <v>2</v>
      </c>
      <c r="F17" t="s">
        <v>35</v>
      </c>
      <c r="G17" t="s">
        <v>13</v>
      </c>
      <c r="H17" t="s">
        <v>4</v>
      </c>
      <c r="I17" t="s">
        <v>6</v>
      </c>
      <c r="J17" t="s">
        <v>5</v>
      </c>
      <c r="K17" t="s">
        <v>7</v>
      </c>
      <c r="L17" t="s">
        <v>8</v>
      </c>
      <c r="M17" t="s">
        <v>9</v>
      </c>
      <c r="N17" t="s">
        <v>10</v>
      </c>
    </row>
    <row r="18" spans="1:14" ht="15" thickBot="1" x14ac:dyDescent="0.4">
      <c r="A18" s="5"/>
      <c r="B18" s="6"/>
      <c r="C18" s="6"/>
      <c r="D18" s="7"/>
      <c r="E18" s="8"/>
      <c r="F18" s="8"/>
      <c r="G18" s="8"/>
      <c r="H18" s="6"/>
      <c r="I18" s="8"/>
      <c r="J18" s="6"/>
      <c r="K18" s="8"/>
      <c r="L18" s="8"/>
      <c r="M18" s="8"/>
      <c r="N18" s="9"/>
    </row>
    <row r="21" spans="1:14" ht="18.5" x14ac:dyDescent="0.45">
      <c r="A21" s="23" t="s">
        <v>32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4" ht="15" thickBot="1" x14ac:dyDescent="0.4">
      <c r="A22" t="s">
        <v>0</v>
      </c>
      <c r="B22" t="s">
        <v>28</v>
      </c>
      <c r="C22" t="s">
        <v>30</v>
      </c>
      <c r="D22" t="s">
        <v>1</v>
      </c>
      <c r="E22" t="s">
        <v>2</v>
      </c>
      <c r="F22" t="s">
        <v>35</v>
      </c>
      <c r="G22" t="s">
        <v>13</v>
      </c>
      <c r="H22" t="s">
        <v>4</v>
      </c>
      <c r="I22" t="s">
        <v>6</v>
      </c>
      <c r="J22" t="s">
        <v>5</v>
      </c>
      <c r="K22" t="s">
        <v>7</v>
      </c>
      <c r="L22" t="s">
        <v>8</v>
      </c>
      <c r="M22" t="s">
        <v>9</v>
      </c>
      <c r="N22" t="s">
        <v>10</v>
      </c>
    </row>
    <row r="23" spans="1:14" ht="15" thickBot="1" x14ac:dyDescent="0.4">
      <c r="A23" s="5"/>
      <c r="B23" s="6"/>
      <c r="C23" s="6"/>
      <c r="D23" s="7"/>
      <c r="E23" s="8"/>
      <c r="F23" s="8"/>
      <c r="G23" s="8"/>
      <c r="H23" s="6"/>
      <c r="I23" s="8"/>
      <c r="J23" s="6"/>
      <c r="K23" s="8"/>
      <c r="L23" s="8"/>
      <c r="M23" s="8"/>
      <c r="N23" s="8"/>
    </row>
    <row r="26" spans="1:14" ht="18.5" x14ac:dyDescent="0.45">
      <c r="A26" s="23" t="s">
        <v>33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4" ht="15" thickBot="1" x14ac:dyDescent="0.4">
      <c r="A27" t="s">
        <v>0</v>
      </c>
      <c r="B27" t="s">
        <v>28</v>
      </c>
      <c r="C27" t="s">
        <v>30</v>
      </c>
      <c r="D27" t="s">
        <v>1</v>
      </c>
      <c r="E27" t="s">
        <v>2</v>
      </c>
      <c r="F27" t="s">
        <v>35</v>
      </c>
      <c r="G27" t="s">
        <v>13</v>
      </c>
      <c r="H27" t="s">
        <v>4</v>
      </c>
      <c r="I27" t="s">
        <v>6</v>
      </c>
      <c r="J27" t="s">
        <v>5</v>
      </c>
      <c r="K27" t="s">
        <v>7</v>
      </c>
      <c r="L27" t="s">
        <v>8</v>
      </c>
      <c r="M27" t="s">
        <v>9</v>
      </c>
      <c r="N27" t="s">
        <v>10</v>
      </c>
    </row>
    <row r="28" spans="1:14" ht="15" thickBot="1" x14ac:dyDescent="0.4">
      <c r="A28" s="5"/>
      <c r="B28" s="6"/>
      <c r="C28" s="6"/>
      <c r="D28" s="7"/>
      <c r="E28" s="8"/>
      <c r="F28" s="8"/>
      <c r="G28" s="8"/>
      <c r="H28" s="6"/>
      <c r="I28" s="8"/>
      <c r="J28" s="6"/>
      <c r="K28" s="8"/>
      <c r="L28" s="8"/>
      <c r="M28" s="8"/>
      <c r="N28" s="8"/>
    </row>
    <row r="31" spans="1:14" ht="18.5" x14ac:dyDescent="0.45">
      <c r="A31" s="23" t="s">
        <v>34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4" ht="15" thickBot="1" x14ac:dyDescent="0.4">
      <c r="A32" t="s">
        <v>0</v>
      </c>
      <c r="B32" t="s">
        <v>28</v>
      </c>
      <c r="C32" t="s">
        <v>30</v>
      </c>
      <c r="D32" t="s">
        <v>1</v>
      </c>
      <c r="E32" t="s">
        <v>2</v>
      </c>
      <c r="F32" t="s">
        <v>35</v>
      </c>
      <c r="G32" t="s">
        <v>13</v>
      </c>
      <c r="H32" t="s">
        <v>4</v>
      </c>
      <c r="I32" t="s">
        <v>6</v>
      </c>
      <c r="J32" t="s">
        <v>5</v>
      </c>
      <c r="K32" t="s">
        <v>7</v>
      </c>
      <c r="L32" t="s">
        <v>8</v>
      </c>
      <c r="M32" t="s">
        <v>9</v>
      </c>
      <c r="N32" t="s">
        <v>10</v>
      </c>
    </row>
    <row r="33" spans="1:14" ht="15" thickBot="1" x14ac:dyDescent="0.4">
      <c r="A33" s="5"/>
      <c r="B33" s="6"/>
      <c r="C33" s="6"/>
      <c r="D33" s="7"/>
      <c r="E33" s="8"/>
      <c r="F33" s="8"/>
      <c r="G33" s="8"/>
      <c r="H33" s="6"/>
      <c r="I33" s="8"/>
      <c r="J33" s="6"/>
      <c r="K33" s="8"/>
      <c r="L33" s="8"/>
      <c r="M33" s="8"/>
      <c r="N33" s="8"/>
    </row>
  </sheetData>
  <sheetProtection formatCells="0" formatRows="0" insertRows="0" deleteRows="0" selectLockedCells="1" sort="0" autoFilter="0" pivotTables="0"/>
  <mergeCells count="7">
    <mergeCell ref="A26:M26"/>
    <mergeCell ref="A31:M31"/>
    <mergeCell ref="A1:M1"/>
    <mergeCell ref="A6:M6"/>
    <mergeCell ref="A11:M11"/>
    <mergeCell ref="A16:M16"/>
    <mergeCell ref="A21:M21"/>
  </mergeCells>
  <dataValidations count="10">
    <dataValidation type="custom" allowBlank="1" showInputMessage="1" showErrorMessage="1" errorTitle="Error de carga" error="Valor inválido. Verifique que sea un número y tenga entre 8 y 12 digitos, sin guiones." sqref="A18 A28 A3:A4 A8 A13 A33 A23" xr:uid="{0F187D34-775C-4CAD-A3ED-78081763FAE6}">
      <formula1>AND(ISNUMBER(--A3),LEN(A3)&gt;=8,LEN(A3)&lt;=12)</formula1>
    </dataValidation>
    <dataValidation type="date" allowBlank="1" showInputMessage="1" showErrorMessage="1" errorTitle="Error de carga" error="Valor inválido. Verifique que sea una fecha válida con el formato dd/mm/aaaa." sqref="D18 D28 D3:D4 D8 D13 D33 D23" xr:uid="{5956AAB8-4092-4163-B3B8-3628433A192C}">
      <formula1>1</formula1>
      <formula2>72686</formula2>
    </dataValidation>
    <dataValidation type="whole" operator="greaterThan" allowBlank="1" showInputMessage="1" showErrorMessage="1" errorTitle="Error de carga" error="Valor inválido. Verifique que sea un número entero mayor a 0." sqref="J18 H28 J28 H3:H4 J3:J4 H8 J8 J13 H33 J33 H23 J23" xr:uid="{F735BC7C-213E-4BF8-90B8-08CE9D20F223}">
      <formula1>0</formula1>
    </dataValidation>
    <dataValidation type="custom" allowBlank="1" showInputMessage="1" showErrorMessage="1" errorTitle="Error de carga" error="Valor inválido. Verifique que sea un número decimal, mayor a 0 y con solo dos dígitos decimales." sqref="E18 G18 K18:N18 I18 I28 K28:N28 G28 E28 G3:G4 I3:I4 E3:E4 K3:N4 I8 K8:N8 E8 E13 G13 I13 K13:N13 I33 K33:N33 E33 G33 K23:N23 G23 E23" xr:uid="{C407B6CA-7C46-4B34-9852-C26D83DD2465}">
      <formula1>AND(   ISNUMBER(E3),   E3&gt;0,   ROUND(E3,2)=E3 )</formula1>
    </dataValidation>
    <dataValidation type="custom" allowBlank="1" showInputMessage="1" showErrorMessage="1" errorTitle="Error de carga" error="Valor inválido. Verifique que sea un número decimal, mayor a 0 y con solo dos dígitos decimales" sqref="G8" xr:uid="{B2C18536-C72B-4822-8704-A47CBD0578EC}">
      <formula1>AND(   ISNUMBER(G8),   G8&gt;0,   ROUND(G8,2)=G8 )</formula1>
    </dataValidation>
    <dataValidation type="custom" allowBlank="1" showInputMessage="1" showErrorMessage="1" errorTitle="Error de carga " error="Valor inválido. Verifique que sea un número decimal, mayor a 0 y con solo dos dígitos decimales." sqref="I23" xr:uid="{C6F27E16-07B4-4BFB-A111-8D38B7CA760C}">
      <formula1>AND(   ISNUMBER(I23),   I23&gt;0,   ROUND(I23,2)=I23 )</formula1>
    </dataValidation>
    <dataValidation type="list" allowBlank="1" showInputMessage="1" showErrorMessage="1" errorTitle="Error de carga" error="Valor inválido. Verifique que el valor ingresado sea algunas de las opciones disponibles: SUELDO, 1° SAC, 2° SAC." sqref="F18 F28 F8 F13 F33 F23" xr:uid="{418BE18C-9747-4A00-9AC6-10B147E12856}">
      <formula1>"SUELDO,1° SAC,2° SAC"</formula1>
    </dataValidation>
    <dataValidation type="whole" operator="greaterThan" allowBlank="1" showInputMessage="1" showErrorMessage="1" errorTitle="Error de carga" error="Valor inválido. Verifique que sea un número entero mayor a 0." sqref="H18" xr:uid="{322C7F70-0D87-43E9-9F47-B6127EAC15B7}">
      <formula1>1</formula1>
    </dataValidation>
    <dataValidation type="decimal" operator="greaterThan" allowBlank="1" showInputMessage="1" showErrorMessage="1" errorTitle="Error de carga" error="Valor inválido. Verifique que sea un número entero mayor a 0." sqref="H13" xr:uid="{A67F79E2-2215-4210-B51B-937ADCF1576F}">
      <formula1>0</formula1>
    </dataValidation>
    <dataValidation type="list" allowBlank="1" showInputMessage="1" showErrorMessage="1" errorTitle="Error de carga" error="Valor inválido. Verifique que el valor ingresado sea algunas de las opciones disponibles: SUELDO, 1° SAC, 2° SAC." sqref="F3:F4" xr:uid="{C027BA0C-CC50-46E4-B2A4-3D0BCA5284BE}">
      <formula1>"SUELDO,1° SAC,2°SAC"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B193-479D-4F02-A522-C7BFCC5078B3}">
  <dimension ref="A1:O8"/>
  <sheetViews>
    <sheetView tabSelected="1" workbookViewId="0">
      <selection activeCell="A13" sqref="A13"/>
    </sheetView>
  </sheetViews>
  <sheetFormatPr baseColWidth="10" defaultRowHeight="14.5" x14ac:dyDescent="0.35"/>
  <cols>
    <col min="1" max="1" width="50.1796875" bestFit="1" customWidth="1"/>
    <col min="2" max="2" width="22.1796875" bestFit="1" customWidth="1"/>
    <col min="3" max="3" width="37.453125" bestFit="1" customWidth="1"/>
    <col min="4" max="4" width="14.54296875" bestFit="1" customWidth="1"/>
    <col min="5" max="5" width="9.26953125" style="2" bestFit="1" customWidth="1"/>
    <col min="6" max="6" width="16.6328125" style="3" bestFit="1" customWidth="1"/>
    <col min="7" max="7" width="16.6328125" customWidth="1"/>
    <col min="8" max="8" width="10.7265625" style="3" bestFit="1" customWidth="1"/>
    <col min="9" max="9" width="14.90625" bestFit="1" customWidth="1"/>
    <col min="10" max="10" width="17.6328125" style="3" bestFit="1" customWidth="1"/>
    <col min="11" max="11" width="16" bestFit="1" customWidth="1"/>
    <col min="12" max="12" width="18.6328125" style="3" bestFit="1" customWidth="1"/>
    <col min="13" max="14" width="12.453125" style="3" customWidth="1"/>
    <col min="15" max="15" width="14.36328125" style="3" bestFit="1" customWidth="1"/>
  </cols>
  <sheetData>
    <row r="1" spans="1:15" x14ac:dyDescent="0.35">
      <c r="A1" t="s">
        <v>37</v>
      </c>
      <c r="B1" t="s">
        <v>15</v>
      </c>
      <c r="C1" t="s">
        <v>14</v>
      </c>
      <c r="D1" t="s">
        <v>16</v>
      </c>
      <c r="E1" s="2" t="s">
        <v>17</v>
      </c>
      <c r="F1" s="3" t="s">
        <v>18</v>
      </c>
      <c r="G1" t="s">
        <v>36</v>
      </c>
      <c r="H1" s="3" t="s">
        <v>19</v>
      </c>
      <c r="I1" t="s">
        <v>20</v>
      </c>
      <c r="J1" s="3" t="s">
        <v>21</v>
      </c>
      <c r="K1" t="s">
        <v>22</v>
      </c>
      <c r="L1" s="3" t="s">
        <v>23</v>
      </c>
      <c r="M1" s="3" t="s">
        <v>24</v>
      </c>
      <c r="N1" s="3" t="s">
        <v>25</v>
      </c>
      <c r="O1" s="3" t="s">
        <v>26</v>
      </c>
    </row>
    <row r="2" spans="1:15" x14ac:dyDescent="0.35">
      <c r="A2" t="str" cm="1">
        <f t="array" ref="A2:O8">_xlfn.VSTACK(
  _xlfn.HSTACK(
    IF(_xlfn.SEQUENCE(ROWS(planta_politica[#Data])),"Personal de planta política",""),
    planta_politica[#Data]
  ),
  _xlfn.HSTACK(
    IF(_xlfn.SEQUENCE(ROWS(planta_permanente[#Data])),"Personal de planta permanente",""),
    planta_permanente[#Data]
  ),
  _xlfn.HSTACK(
    IF(_xlfn.SEQUENCE(ROWS(planta_temporaria[#Data])),"Personal de planta temporaria",""),
    planta_temporaria[#Data]
  ),
  _xlfn.HSTACK(
    IF(_xlfn.SEQUENCE(ROWS(monotributista[#Data])),"Personal que cobra por contrato/Monotributista",""),
    monotributista[#Data]
  ),
  _xlfn.HSTACK(
    IF(_xlfn.SEQUENCE(ROWS(percibe_retribucion_subsidio[#Data])),"Personal que contrapresta percibiendo retribución por subsidio",""),
    percibe_retribucion_subsidio[#Data]
  ),
 _xlfn.HSTACK(
    IF(_xlfn.SEQUENCE(ROWS(presta_servicios[#Data])),"Personal que presta servicios y percibe una remuneración y no se encuentran incluidos en ninguna de las opciones anteriores",""),
    presta_servicios[#Data]
  ),
  _xlfn.HSTACK(
    IF(_xlfn.SEQUENCE(ROWS(percibe_subsidio[#Data])),"Personal que perciba un subsidio (Planes / Becas / Ayuda social temporaria)",""),
    percibe_subsidio[#Data]
  )
)</f>
        <v>Personal de planta política</v>
      </c>
      <c r="B2">
        <v>0</v>
      </c>
      <c r="C2">
        <v>0</v>
      </c>
      <c r="D2">
        <v>0</v>
      </c>
      <c r="E2" s="2">
        <v>0</v>
      </c>
      <c r="F2" s="3">
        <v>0</v>
      </c>
      <c r="G2">
        <v>0</v>
      </c>
      <c r="H2" s="3">
        <v>0</v>
      </c>
      <c r="I2">
        <v>0</v>
      </c>
      <c r="J2" s="3">
        <v>0</v>
      </c>
      <c r="K2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35">
      <c r="A3" t="str">
        <v>Personal de planta permanente</v>
      </c>
      <c r="B3">
        <v>0</v>
      </c>
      <c r="C3">
        <v>0</v>
      </c>
      <c r="D3">
        <v>0</v>
      </c>
      <c r="E3" s="2">
        <v>0</v>
      </c>
      <c r="F3" s="3">
        <v>0</v>
      </c>
      <c r="G3">
        <v>0</v>
      </c>
      <c r="H3" s="3">
        <v>0</v>
      </c>
      <c r="I3">
        <v>0</v>
      </c>
      <c r="J3" s="3">
        <v>0</v>
      </c>
      <c r="K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35">
      <c r="A4" t="str">
        <v>Personal de planta temporaria</v>
      </c>
      <c r="B4">
        <v>0</v>
      </c>
      <c r="C4">
        <v>0</v>
      </c>
      <c r="D4">
        <v>0</v>
      </c>
      <c r="E4" s="2">
        <v>0</v>
      </c>
      <c r="F4" s="3">
        <v>0</v>
      </c>
      <c r="G4">
        <v>0</v>
      </c>
      <c r="H4" s="3">
        <v>0</v>
      </c>
      <c r="I4">
        <v>0</v>
      </c>
      <c r="J4" s="3">
        <v>0</v>
      </c>
      <c r="K4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35">
      <c r="A5" t="str">
        <v>Personal que cobra por contrato/Monotributista</v>
      </c>
      <c r="B5">
        <v>0</v>
      </c>
      <c r="C5">
        <v>0</v>
      </c>
      <c r="D5">
        <v>0</v>
      </c>
      <c r="E5" s="2">
        <v>0</v>
      </c>
      <c r="F5" s="3">
        <v>0</v>
      </c>
      <c r="G5">
        <v>0</v>
      </c>
      <c r="H5" s="3">
        <v>0</v>
      </c>
      <c r="I5">
        <v>0</v>
      </c>
      <c r="J5" s="3">
        <v>0</v>
      </c>
      <c r="K5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35">
      <c r="A6" t="str">
        <v>Personal que contrapresta percibiendo retribución por subsidio</v>
      </c>
      <c r="B6">
        <v>0</v>
      </c>
      <c r="C6">
        <v>0</v>
      </c>
      <c r="D6">
        <v>0</v>
      </c>
      <c r="E6" s="2">
        <v>0</v>
      </c>
      <c r="F6" s="3">
        <v>0</v>
      </c>
      <c r="G6">
        <v>0</v>
      </c>
      <c r="H6" s="3">
        <v>0</v>
      </c>
      <c r="I6">
        <v>0</v>
      </c>
      <c r="J6" s="3">
        <v>0</v>
      </c>
      <c r="K6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35">
      <c r="A7" t="str">
        <v>Personal que presta servicios y percibe una remuneración y no se encuentran incluidos en ninguna de las opciones anteriores</v>
      </c>
      <c r="B7">
        <v>0</v>
      </c>
      <c r="C7">
        <v>0</v>
      </c>
      <c r="D7">
        <v>0</v>
      </c>
      <c r="E7" s="2">
        <v>0</v>
      </c>
      <c r="F7" s="3">
        <v>0</v>
      </c>
      <c r="G7">
        <v>0</v>
      </c>
      <c r="H7" s="3">
        <v>0</v>
      </c>
      <c r="I7">
        <v>0</v>
      </c>
      <c r="J7" s="3">
        <v>0</v>
      </c>
      <c r="K7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35">
      <c r="A8" t="str">
        <v>Personal que perciba un subsidio (Planes / Becas / Ayuda social temporaria)</v>
      </c>
      <c r="B8">
        <v>0</v>
      </c>
      <c r="C8">
        <v>0</v>
      </c>
      <c r="D8">
        <v>0</v>
      </c>
      <c r="E8" s="2">
        <v>0</v>
      </c>
      <c r="F8" s="3">
        <v>0</v>
      </c>
      <c r="G8">
        <v>0</v>
      </c>
      <c r="H8" s="3">
        <v>0</v>
      </c>
      <c r="I8">
        <v>0</v>
      </c>
      <c r="J8" s="3">
        <v>0</v>
      </c>
      <c r="K8">
        <v>0</v>
      </c>
      <c r="L8" s="3">
        <v>0</v>
      </c>
      <c r="M8" s="3">
        <v>0</v>
      </c>
      <c r="N8" s="3">
        <v>0</v>
      </c>
      <c r="O8" s="3">
        <v>0</v>
      </c>
    </row>
  </sheetData>
  <sheetProtection algorithmName="SHA-512" hashValue="FUp6FIy3BkNUdYH7f3MRKtUUBtI9zeN8OYltYTgZVrwgbTF7cNXPaCdhxdFLUAeHahu9G7Y+djTZ0EWEMAd1sQ==" saltValue="yANR9nSwCpmDvTf/BmCsA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</vt:lpstr>
      <vt:lpstr>Exportacion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Ramon Alexis Cruz</dc:creator>
  <cp:lastModifiedBy>Jesus Ramon Alexis Cruz</cp:lastModifiedBy>
  <dcterms:created xsi:type="dcterms:W3CDTF">2026-01-19T23:41:30Z</dcterms:created>
  <dcterms:modified xsi:type="dcterms:W3CDTF">2026-01-24T00:01:53Z</dcterms:modified>
</cp:coreProperties>
</file>